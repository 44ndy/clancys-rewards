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tos" sheetId="1" state="visible" r:id="rId3"/>
    <sheet name="Resumen" sheetId="2" state="visible" r:id="rId4"/>
    <sheet name="Requisitos técnicos" sheetId="3" state="visible" r:id="rId5"/>
  </sheets>
  <definedNames>
    <definedName function="false" hidden="false" localSheetId="0" name="_xlnm.Print_Titles" vbProcedure="false">Requisitos!$4:$4</definedName>
    <definedName function="false" hidden="true" localSheetId="0" name="_xlnm._FilterDatabase" vbProcedure="false">Requisitos!$A$4:$M$32</definedName>
    <definedName function="false" hidden="false" localSheetId="2" name="_xlnm.Print_Titles" vbProcedure="false">'Requisitos técnicos'!$4:$4</definedName>
    <definedName function="false" hidden="false" localSheetId="1" name="_xlnm.Print_Titles" vbProcedure="false">Resumen!$4:$4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<sst xmlns="http://schemas.openxmlformats.org/spreadsheetml/2006/main" count="513" uniqueCount="322">
  <si>
    <t xml:space="preserve">Matriz de requisitos · Clancy's Rewards</t>
  </si>
  <si>
    <t xml:space="preserve">Capstone 001V · Andy Aravena Auquilen · Estado al 29 de octubre de 2026</t>
  </si>
  <si>
    <t xml:space="preserve">ID</t>
  </si>
  <si>
    <t xml:space="preserve">Tipo</t>
  </si>
  <si>
    <t xml:space="preserve">Categoría</t>
  </si>
  <si>
    <t xml:space="preserve">Requisito</t>
  </si>
  <si>
    <t xml:space="preserve">Descripción</t>
  </si>
  <si>
    <t xml:space="preserve">Actor</t>
  </si>
  <si>
    <t xml:space="preserve">Prioridad</t>
  </si>
  <si>
    <t xml:space="preserve">Criterio de aceptación</t>
  </si>
  <si>
    <t xml:space="preserve">Origen</t>
  </si>
  <si>
    <t xml:space="preserve">Estado</t>
  </si>
  <si>
    <t xml:space="preserve">Sprint</t>
  </si>
  <si>
    <t xml:space="preserve">Issue</t>
  </si>
  <si>
    <t xml:space="preserve">Evidencia en el sistema</t>
  </si>
  <si>
    <t xml:space="preserve">RF-01</t>
  </si>
  <si>
    <t xml:space="preserve">Funcional</t>
  </si>
  <si>
    <t xml:space="preserve">Cuentas</t>
  </si>
  <si>
    <t xml:space="preserve">Registro con correo y contraseña</t>
  </si>
  <si>
    <t xml:space="preserve">El cliente crea su cuenta con nombre, correo y contraseña, y queda inscrito en el programa con 0 visitas.</t>
  </si>
  <si>
    <t xml:space="preserve">Cliente</t>
  </si>
  <si>
    <t xml:space="preserve">Alta</t>
  </si>
  <si>
    <t xml:space="preserve">Con un correo no registrado y una contraseña de al menos 6 caracteres, se crea la cuenta y su membresía. Con un correo ya registrado, se muestra un error.</t>
  </si>
  <si>
    <t xml:space="preserve">Análisis del proceso del local</t>
  </si>
  <si>
    <t xml:space="preserve">Implementado</t>
  </si>
  <si>
    <t xml:space="preserve">Prototipo</t>
  </si>
  <si>
    <t xml:space="preserve">POST /api/auth/register · pantalla Registro</t>
  </si>
  <si>
    <t xml:space="preserve">RF-02</t>
  </si>
  <si>
    <t xml:space="preserve">Inicio de sesión con correo o con Google</t>
  </si>
  <si>
    <t xml:space="preserve">El usuario entra con su correo y contraseña o con su cuenta de Google, y la app lo lleva a las pantallas de su rol.</t>
  </si>
  <si>
    <t xml:space="preserve">Todos</t>
  </si>
  <si>
    <t xml:space="preserve">Con credenciales válidas se entrega un token de sesión; con credenciales inválidas se responde error 401; una cuenta desactivada no puede entrar.</t>
  </si>
  <si>
    <t xml:space="preserve">Parcial</t>
  </si>
  <si>
    <t xml:space="preserve">Sprint 2</t>
  </si>
  <si>
    <t xml:space="preserve">#50</t>
  </si>
  <si>
    <t xml:space="preserve">POST /api/auth/login · POST /api/auth/google</t>
  </si>
  <si>
    <t xml:space="preserve">RF-03</t>
  </si>
  <si>
    <t xml:space="preserve">Fidelización</t>
  </si>
  <si>
    <t xml:space="preserve">Tarjeta de socio</t>
  </si>
  <si>
    <t xml:space="preserve">El cliente ve sus visitas acumuladas y cuánto le falta para el próximo premio.</t>
  </si>
  <si>
    <t xml:space="preserve">La tarjeta muestra el número de visitas y el próximo premio según las visitas requeridas.</t>
  </si>
  <si>
    <t xml:space="preserve">GET /api/loyalty · pantalla Tarjeta de socio</t>
  </si>
  <si>
    <t xml:space="preserve">RF-04</t>
  </si>
  <si>
    <t xml:space="preserve">QR personal de un solo uso</t>
  </si>
  <si>
    <t xml:space="preserve">El cliente genera un código QR para registrar su visita o canjear un premio.</t>
  </si>
  <si>
    <t xml:space="preserve">El QR vence a los 3 minutos (180 s) y deja de servir después de escanearse una vez.</t>
  </si>
  <si>
    <t xml:space="preserve">Problema de la tarjeta de papel (sellos copiables)</t>
  </si>
  <si>
    <t xml:space="preserve">POST /api/qr/generate · colección qr_tokens</t>
  </si>
  <si>
    <t xml:space="preserve">RF-05</t>
  </si>
  <si>
    <t xml:space="preserve">Escaneo del QR y suma de visita</t>
  </si>
  <si>
    <t xml:space="preserve">El personal escanea el QR con la cámara del teléfono y la visita se suma al cliente.</t>
  </si>
  <si>
    <t xml:space="preserve">Personal</t>
  </si>
  <si>
    <t xml:space="preserve">Solo un rol de personal puede escanear. Un QR vencido o ya usado se rechaza. La visita queda registrada con el empleado que la validó.</t>
  </si>
  <si>
    <t xml:space="preserve">POST /api/qr/scan · colección visit_log</t>
  </si>
  <si>
    <t xml:space="preserve">RF-06</t>
  </si>
  <si>
    <t xml:space="preserve">Canje de premios en dos pasos</t>
  </si>
  <si>
    <t xml:space="preserve">El escaneo reserva el premio y descuenta las visitas; quien lo lleva a la mesa confirma la entrega.</t>
  </si>
  <si>
    <t xml:space="preserve">Cliente / Personal</t>
  </si>
  <si>
    <t xml:space="preserve">Sin visitas suficientes el canje se rechaza. El canje queda "pendiente" hasta confirmar la entrega, y confirmar dos veces no lo duplica.</t>
  </si>
  <si>
    <t xml:space="preserve">Análisis del proceso de atención</t>
  </si>
  <si>
    <t xml:space="preserve">POST /api/redemptions/{id}/deliver</t>
  </si>
  <si>
    <t xml:space="preserve">RF-07</t>
  </si>
  <si>
    <t xml:space="preserve">Contenido</t>
  </si>
  <si>
    <t xml:space="preserve">Menú del local</t>
  </si>
  <si>
    <t xml:space="preserve">El cliente consulta el menú por servicio y sección, con precios y disponibilidad.</t>
  </si>
  <si>
    <t xml:space="preserve">Media</t>
  </si>
  <si>
    <t xml:space="preserve">Se muestran los platos disponibles ordenados por servicio y sección.</t>
  </si>
  <si>
    <t xml:space="preserve">GET /api/menu · 43 platos reales</t>
  </si>
  <si>
    <t xml:space="preserve">RF-08</t>
  </si>
  <si>
    <t xml:space="preserve">Administración</t>
  </si>
  <si>
    <t xml:space="preserve">Gestión de menú, premios y promociones</t>
  </si>
  <si>
    <t xml:space="preserve">La administración crea, edita y desactiva platos, premios y promociones desde la app.</t>
  </si>
  <si>
    <t xml:space="preserve">Administrador</t>
  </si>
  <si>
    <t xml:space="preserve">Solo los roles de administración pueden editar. Los cambios se ven en la app del cliente sin publicar una nueva versión.</t>
  </si>
  <si>
    <t xml:space="preserve">/api/admin/menu · /rewards · /promotions</t>
  </si>
  <si>
    <t xml:space="preserve">RF-09</t>
  </si>
  <si>
    <t xml:space="preserve">Panel de indicadores</t>
  </si>
  <si>
    <t xml:space="preserve">La administración ve clientes, socios activos, visitas del día y de la semana, y premios más canjeados.</t>
  </si>
  <si>
    <t xml:space="preserve">El panel muestra los indicadores calculados desde los registros reales de visitas y canjes.</t>
  </si>
  <si>
    <t xml:space="preserve">Problema: el local no tiene datos de sus clientes</t>
  </si>
  <si>
    <t xml:space="preserve">GET /api/admin/dashboard</t>
  </si>
  <si>
    <t xml:space="preserve">RF-10</t>
  </si>
  <si>
    <t xml:space="preserve">Gestión del personal</t>
  </si>
  <si>
    <t xml:space="preserve">El dueño crea, edita y desactiva cuentas del personal con su rol.</t>
  </si>
  <si>
    <t xml:space="preserve">Dueño</t>
  </si>
  <si>
    <t xml:space="preserve">Solo el dueño accede a esta función; un empleado desactivado no puede iniciar sesión.</t>
  </si>
  <si>
    <t xml:space="preserve">/api/admin/staff</t>
  </si>
  <si>
    <t xml:space="preserve">RF-11</t>
  </si>
  <si>
    <t xml:space="preserve">Usabilidad</t>
  </si>
  <si>
    <t xml:space="preserve">Confirmar antes de borrar y deshacer</t>
  </si>
  <si>
    <t xml:space="preserve">Antes de eliminar un plato, premio o promoción, la app pide confirmación y permite deshacer.</t>
  </si>
  <si>
    <t xml:space="preserve">Ninguna eliminación ocurre sin confirmar; durante unos segundos se puede deshacer.</t>
  </si>
  <si>
    <t xml:space="preserve">Auditoría de usabilidad del prototipo</t>
  </si>
  <si>
    <t xml:space="preserve">Pendiente</t>
  </si>
  <si>
    <t xml:space="preserve">Sprint 1</t>
  </si>
  <si>
    <t xml:space="preserve">#43</t>
  </si>
  <si>
    <t xml:space="preserve">HU-14</t>
  </si>
  <si>
    <t xml:space="preserve">RF-12</t>
  </si>
  <si>
    <t xml:space="preserve">Mensajes de error y reintentar</t>
  </si>
  <si>
    <t xml:space="preserve">Si falla la conexión o una operación, la app muestra un mensaje claro y permite reintentar.</t>
  </si>
  <si>
    <t xml:space="preserve">Cada error de red muestra un mensaje en pantalla con un botón para reintentar.</t>
  </si>
  <si>
    <t xml:space="preserve">#44</t>
  </si>
  <si>
    <t xml:space="preserve">HU-15</t>
  </si>
  <si>
    <t xml:space="preserve">RF-13</t>
  </si>
  <si>
    <t xml:space="preserve">Recuperación de contraseña</t>
  </si>
  <si>
    <t xml:space="preserve">El cliente recupera el acceso a su cuenta mediante un correo.</t>
  </si>
  <si>
    <t xml:space="preserve">Al solicitarlo, llega un enlace al correo que permite definir una nueva contraseña.</t>
  </si>
  <si>
    <t xml:space="preserve">Sprint 3</t>
  </si>
  <si>
    <t xml:space="preserve">#57</t>
  </si>
  <si>
    <t xml:space="preserve">HU-04</t>
  </si>
  <si>
    <t xml:space="preserve">RF-14</t>
  </si>
  <si>
    <t xml:space="preserve">Tiempo mínimo entre visitas</t>
  </si>
  <si>
    <t xml:space="preserve">El sistema evita sumar dos visitas al mismo cliente en un intervalo corto.</t>
  </si>
  <si>
    <t xml:space="preserve">Un segundo escaneo del mismo cliente dentro del intervalo configurado se rechaza.</t>
  </si>
  <si>
    <t xml:space="preserve">Prevención de abuso del programa</t>
  </si>
  <si>
    <t xml:space="preserve">#56</t>
  </si>
  <si>
    <t xml:space="preserve">HU-08</t>
  </si>
  <si>
    <t xml:space="preserve">RF-15</t>
  </si>
  <si>
    <t xml:space="preserve">Privacidad</t>
  </si>
  <si>
    <t xml:space="preserve">Exportar y borrar la cuenta</t>
  </si>
  <si>
    <t xml:space="preserve">El cliente descarga sus datos y puede eliminar su cuenta desde la app.</t>
  </si>
  <si>
    <t xml:space="preserve">El cliente obtiene un archivo con sus datos y, al borrar la cuenta, sus datos personales se eliminan.</t>
  </si>
  <si>
    <t xml:space="preserve">RGPD (UE) 2016/679</t>
  </si>
  <si>
    <t xml:space="preserve">#54</t>
  </si>
  <si>
    <t xml:space="preserve">HU-19</t>
  </si>
  <si>
    <t xml:space="preserve">RF-16</t>
  </si>
  <si>
    <t xml:space="preserve">Inicio de sesión con Apple</t>
  </si>
  <si>
    <t xml:space="preserve">En iPhone, el cliente puede entrar con su cuenta de Apple, como alternativa al inicio de sesión con Google.</t>
  </si>
  <si>
    <t xml:space="preserve">En la app de iOS aparece el botón "Iniciar sesión con Apple"; el servidor valida el token de Apple y crea o recupera la cuenta.</t>
  </si>
  <si>
    <t xml:space="preserve">Guía de revisión de App Store 4.8 (por usar login con Google)</t>
  </si>
  <si>
    <t xml:space="preserve">#66</t>
  </si>
  <si>
    <t xml:space="preserve">HU-20</t>
  </si>
  <si>
    <t xml:space="preserve">RNF-01</t>
  </si>
  <si>
    <t xml:space="preserve">No funcional</t>
  </si>
  <si>
    <t xml:space="preserve">Seguridad</t>
  </si>
  <si>
    <t xml:space="preserve">Contraseñas cifradas</t>
  </si>
  <si>
    <t xml:space="preserve">Las contraseñas se guardan con un hash bcrypt, nunca en texto plano.</t>
  </si>
  <si>
    <t xml:space="preserve">Sistema</t>
  </si>
  <si>
    <t xml:space="preserve">En la base de datos solo existe el campo password_hash.</t>
  </si>
  <si>
    <t xml:space="preserve">OWASP Mobile Top 10</t>
  </si>
  <si>
    <t xml:space="preserve">Función hash_password</t>
  </si>
  <si>
    <t xml:space="preserve">RNF-02</t>
  </si>
  <si>
    <t xml:space="preserve">Sesiones con token JWT</t>
  </si>
  <si>
    <t xml:space="preserve">Cada petición se autentica con un token firmado que vence.</t>
  </si>
  <si>
    <t xml:space="preserve">Una petición sin token o con un token vencido se responde con error 401.</t>
  </si>
  <si>
    <t xml:space="preserve">Funciones create_jwt y get_current_user</t>
  </si>
  <si>
    <t xml:space="preserve">RNF-03</t>
  </si>
  <si>
    <t xml:space="preserve">Permisos por rol en el servidor</t>
  </si>
  <si>
    <t xml:space="preserve">El servidor valida el rol en cada operación sensible, no solo la app.</t>
  </si>
  <si>
    <t xml:space="preserve">Un cliente que llama a una ruta de administración recibe error 403.</t>
  </si>
  <si>
    <t xml:space="preserve">require_admin · require_owner</t>
  </si>
  <si>
    <t xml:space="preserve">RNF-04</t>
  </si>
  <si>
    <t xml:space="preserve">Credenciales fuera del código</t>
  </si>
  <si>
    <t xml:space="preserve">Claves, cadenas de conexión y contraseñas iniciales se leen desde variables de entorno.</t>
  </si>
  <si>
    <t xml:space="preserve">El repositorio no contiene ninguna credencial; existe un .env.example sin valores.</t>
  </si>
  <si>
    <t xml:space="preserve">Buenas prácticas (Twelve-Factor App)</t>
  </si>
  <si>
    <t xml:space="preserve">Sprint 0</t>
  </si>
  <si>
    <t xml:space="preserve">#36</t>
  </si>
  <si>
    <t xml:space="preserve">backend/.env.example</t>
  </si>
  <si>
    <t xml:space="preserve">RNF-05</t>
  </si>
  <si>
    <t xml:space="preserve">Límite de intentos y CORS restringido</t>
  </si>
  <si>
    <t xml:space="preserve">Se limitan los intentos de login y de escaneo, y la API solo acepta orígenes conocidos.</t>
  </si>
  <si>
    <t xml:space="preserve">Tras 5 intentos fallidos de login en 15 minutos, o más de 20 escaneos por minuto, la API responde error 429; un origen que no está en CORS_ORIGINS es rechazado.</t>
  </si>
  <si>
    <t xml:space="preserve">#42</t>
  </si>
  <si>
    <t xml:space="preserve">backend/server.py · backend/tests/test_limite_intentos.py · Issues #41 y #42</t>
  </si>
  <si>
    <t xml:space="preserve">RNF-06</t>
  </si>
  <si>
    <t xml:space="preserve">Botones táctiles accesibles</t>
  </si>
  <si>
    <t xml:space="preserve">Los botones del panel de administración miden al menos 44 px.</t>
  </si>
  <si>
    <t xml:space="preserve">Todos los botones del panel cumplen el tamaño mínimo.</t>
  </si>
  <si>
    <t xml:space="preserve">#45</t>
  </si>
  <si>
    <t xml:space="preserve">Panel de administración</t>
  </si>
  <si>
    <t xml:space="preserve">RNF-07</t>
  </si>
  <si>
    <t xml:space="preserve">Disponibilidad</t>
  </si>
  <si>
    <t xml:space="preserve">Servidor en la nube con HTTPS</t>
  </si>
  <si>
    <t xml:space="preserve">La API y la base de datos funcionan en la nube, en la Unión Europea, con respaldo diario.</t>
  </si>
  <si>
    <t xml:space="preserve">La app de producción se conecta por HTTPS y la base tiene respaldo automático.</t>
  </si>
  <si>
    <t xml:space="preserve">RGPD y publicación en Google Play</t>
  </si>
  <si>
    <t xml:space="preserve">#47</t>
  </si>
  <si>
    <t xml:space="preserve">Issues #47 y #48</t>
  </si>
  <si>
    <t xml:space="preserve">RNF-08</t>
  </si>
  <si>
    <t xml:space="preserve">Cumplimiento del RGPD</t>
  </si>
  <si>
    <t xml:space="preserve">Consentimiento, política de privacidad y derechos de acceso y borrado.</t>
  </si>
  <si>
    <t xml:space="preserve">El registro exige aceptar la política; el cliente puede exportar y borrar sus datos.</t>
  </si>
  <si>
    <t xml:space="preserve">RNF-09</t>
  </si>
  <si>
    <t xml:space="preserve">Compatibilidad</t>
  </si>
  <si>
    <t xml:space="preserve">App en Android e iOS</t>
  </si>
  <si>
    <t xml:space="preserve">La app se publica en Google Play y en App Store, con una sola base de código (Expo).</t>
  </si>
  <si>
    <t xml:space="preserve">Android: pasa la prueba cerrada de 14 días con al menos 12 testers. iOS: el build de EAS pasa TestFlight y la revisión de Apple. Ambas quedan publicadas.</t>
  </si>
  <si>
    <t xml:space="preserve">Retroalimentación docente: el 47 % de los teléfonos en Irlanda usa iOS</t>
  </si>
  <si>
    <t xml:space="preserve">Sprint 2 y cierre</t>
  </si>
  <si>
    <t xml:space="preserve">#51</t>
  </si>
  <si>
    <t xml:space="preserve">Android: #51, #53 y #60 · iOS: #65, #67, #69 y #70</t>
  </si>
  <si>
    <t xml:space="preserve">RNF-10</t>
  </si>
  <si>
    <t xml:space="preserve">Mantenibilidad</t>
  </si>
  <si>
    <t xml:space="preserve">Contenido como datos</t>
  </si>
  <si>
    <t xml:space="preserve">Menú, premios y promociones son datos editables, no código.</t>
  </si>
  <si>
    <t xml:space="preserve">Agregar un plato o un premio no requiere publicar una nueva versión de la app.</t>
  </si>
  <si>
    <t xml:space="preserve">Buenas prácticas de diseño</t>
  </si>
  <si>
    <t xml:space="preserve">backend/data/menu.clancys-cork.json</t>
  </si>
  <si>
    <t xml:space="preserve">RNF-11</t>
  </si>
  <si>
    <t xml:space="preserve">Calidad</t>
  </si>
  <si>
    <t xml:space="preserve">Pruebas automatizadas</t>
  </si>
  <si>
    <t xml:space="preserve">Pruebas del backend y de la app, y prueba de usuario con el personal.</t>
  </si>
  <si>
    <t xml:space="preserve">La suite de pruebas corre sin errores antes de cada entrega.</t>
  </si>
  <si>
    <t xml:space="preserve">Competencia: pruebas de certificación</t>
  </si>
  <si>
    <t xml:space="preserve">#58</t>
  </si>
  <si>
    <t xml:space="preserve">backend/tests (10 pruebas del límite de intentos) · Issues #58 y #59</t>
  </si>
  <si>
    <t xml:space="preserve">RNF-12</t>
  </si>
  <si>
    <t xml:space="preserve">Requisitos de publicación en App Store</t>
  </si>
  <si>
    <t xml:space="preserve">La app cumple las reglas de Apple: texto de permiso de cámara, política de privacidad, etiqueta de privacidad y borrado de cuenta dentro de la app.</t>
  </si>
  <si>
    <t xml:space="preserve">La ficha de App Store está completa y la app no es rechazada en la revisión por estos puntos.</t>
  </si>
  <si>
    <t xml:space="preserve">Guía de revisión de App Store</t>
  </si>
  <si>
    <t xml:space="preserve">#68</t>
  </si>
  <si>
    <t xml:space="preserve">Issues #68 y #70</t>
  </si>
  <si>
    <t xml:space="preserve">Leyenda: Estado y Prioridad se eligen de una lista. El estado se actualiza al cerrar el issue de cada requisito; el resumen se recalcula solo.</t>
  </si>
  <si>
    <t xml:space="preserve">Fuentes: análisis del proceso de atención de Clancy's Cork, backlog del repositorio, RGPD (UE) 2016/679, OWASP Mobile Top 10 y requisitos de Google Play.</t>
  </si>
  <si>
    <t xml:space="preserve">Resumen de requisitos</t>
  </si>
  <si>
    <t xml:space="preserve">Se calcula desde la hoja Requisitos</t>
  </si>
  <si>
    <t xml:space="preserve">Total</t>
  </si>
  <si>
    <t xml:space="preserve">% implementado</t>
  </si>
  <si>
    <t xml:space="preserve">Requisitos</t>
  </si>
  <si>
    <t xml:space="preserve">El conteo por sprint incluye "Sprint 2 y cierre" dentro de Sprint 2.</t>
  </si>
  <si>
    <t xml:space="preserve">Requisitos técnicos: con qué se construye y se ejecuta la app</t>
  </si>
  <si>
    <t xml:space="preserve">Herramientas, tecnologías, servicios y hardware usados en el proyecto</t>
  </si>
  <si>
    <t xml:space="preserve">Ámbito</t>
  </si>
  <si>
    <t xml:space="preserve">Elemento</t>
  </si>
  <si>
    <t xml:space="preserve">Versión o plan</t>
  </si>
  <si>
    <t xml:space="preserve">Para qué se usa</t>
  </si>
  <si>
    <t xml:space="preserve">Costo mín. (USD)</t>
  </si>
  <si>
    <t xml:space="preserve">Costo máx. (USD)</t>
  </si>
  <si>
    <t xml:space="preserve">Hardware</t>
  </si>
  <si>
    <t xml:space="preserve">Computador con Windows 11</t>
  </si>
  <si>
    <t xml:space="preserve">—</t>
  </si>
  <si>
    <t xml:space="preserve">Desarrollo del frontend y del backend</t>
  </si>
  <si>
    <t xml:space="preserve">Teléfono Android</t>
  </si>
  <si>
    <t xml:space="preserve">Pruebas de la app y del escaneo QR con cámara</t>
  </si>
  <si>
    <t xml:space="preserve">Herramientas</t>
  </si>
  <si>
    <t xml:space="preserve">Visual Studio Code</t>
  </si>
  <si>
    <t xml:space="preserve">Actual</t>
  </si>
  <si>
    <t xml:space="preserve">Editor de código</t>
  </si>
  <si>
    <t xml:space="preserve">Git y GitHub</t>
  </si>
  <si>
    <t xml:space="preserve">Repositorio público</t>
  </si>
  <si>
    <t xml:space="preserve">Control de versiones, backlog (issues y milestones) y evidencias</t>
  </si>
  <si>
    <t xml:space="preserve">Expo Go</t>
  </si>
  <si>
    <t xml:space="preserve">SDK 54</t>
  </si>
  <si>
    <t xml:space="preserve">Ejecutar la app en el teléfono durante el desarrollo</t>
  </si>
  <si>
    <t xml:space="preserve">App móvil</t>
  </si>
  <si>
    <t xml:space="preserve">React Native</t>
  </si>
  <si>
    <t xml:space="preserve">0.81.5</t>
  </si>
  <si>
    <t xml:space="preserve">Interfaz de la app para Android</t>
  </si>
  <si>
    <t xml:space="preserve">Expo</t>
  </si>
  <si>
    <t xml:space="preserve">~54.0</t>
  </si>
  <si>
    <t xml:space="preserve">Framework y herramientas de compilación de la app</t>
  </si>
  <si>
    <t xml:space="preserve">TypeScript</t>
  </si>
  <si>
    <t xml:space="preserve">~5.9</t>
  </si>
  <si>
    <t xml:space="preserve">Lenguaje de la app con tipos</t>
  </si>
  <si>
    <t xml:space="preserve">expo-router</t>
  </si>
  <si>
    <t xml:space="preserve">~6.0</t>
  </si>
  <si>
    <t xml:space="preserve">Navegación por roles: cliente, personal y administrador</t>
  </si>
  <si>
    <t xml:space="preserve">expo-camera</t>
  </si>
  <si>
    <t xml:space="preserve">~17.0</t>
  </si>
  <si>
    <t xml:space="preserve">Leer el código QR con la cámara</t>
  </si>
  <si>
    <t xml:space="preserve">react-native-qrcode-svg</t>
  </si>
  <si>
    <t xml:space="preserve">^6.3</t>
  </si>
  <si>
    <t xml:space="preserve">Dibujar el QR del cliente</t>
  </si>
  <si>
    <t xml:space="preserve">expo-secure-store</t>
  </si>
  <si>
    <t xml:space="preserve">~15.0</t>
  </si>
  <si>
    <t xml:space="preserve">Guardar la sesión de forma segura en el teléfono</t>
  </si>
  <si>
    <t xml:space="preserve">Backend</t>
  </si>
  <si>
    <t xml:space="preserve">Python</t>
  </si>
  <si>
    <t xml:space="preserve">3.11 o superior</t>
  </si>
  <si>
    <t xml:space="preserve">Lenguaje de la API</t>
  </si>
  <si>
    <t xml:space="preserve">FastAPI + Uvicorn</t>
  </si>
  <si>
    <t xml:space="preserve">0.141.1 / 0.52.4</t>
  </si>
  <si>
    <t xml:space="preserve">API REST y servidor</t>
  </si>
  <si>
    <t xml:space="preserve">Pydantic</t>
  </si>
  <si>
    <t xml:space="preserve">2.13.5</t>
  </si>
  <si>
    <t xml:space="preserve">Validación de los datos de entrada</t>
  </si>
  <si>
    <t xml:space="preserve">PyJWT y bcrypt</t>
  </si>
  <si>
    <t xml:space="preserve">2.13.0 / 5.0.0</t>
  </si>
  <si>
    <t xml:space="preserve">Sesiones con token y contraseñas cifradas</t>
  </si>
  <si>
    <t xml:space="preserve">google-auth</t>
  </si>
  <si>
    <t xml:space="preserve">2.57.1</t>
  </si>
  <si>
    <t xml:space="preserve">Verificar el inicio de sesión con Google</t>
  </si>
  <si>
    <t xml:space="preserve">Base de datos</t>
  </si>
  <si>
    <t xml:space="preserve">MongoDB + Motor</t>
  </si>
  <si>
    <t xml:space="preserve">3.7.1 (driver)</t>
  </si>
  <si>
    <t xml:space="preserve">Guardar usuarios, visitas, QR, canjes y contenido</t>
  </si>
  <si>
    <t xml:space="preserve">Servicios</t>
  </si>
  <si>
    <t xml:space="preserve">Google Cloud (OAuth)</t>
  </si>
  <si>
    <t xml:space="preserve">Plan gratuito</t>
  </si>
  <si>
    <t xml:space="preserve">Credenciales para el inicio de sesión con Google</t>
  </si>
  <si>
    <t xml:space="preserve">Google Play Console</t>
  </si>
  <si>
    <t xml:space="preserve">Pago único</t>
  </si>
  <si>
    <t xml:space="preserve">Publicar la app (prueba cerrada y producción)</t>
  </si>
  <si>
    <t xml:space="preserve">Hosting de la API (Render o Railway)</t>
  </si>
  <si>
    <t xml:space="preserve">0 a 7 USD al mes</t>
  </si>
  <si>
    <t xml:space="preserve">Servidor en la nube con HTTPS; 2 meses en el semestre</t>
  </si>
  <si>
    <t xml:space="preserve">MongoDB Atlas</t>
  </si>
  <si>
    <t xml:space="preserve">Base de datos en la nube, región europea</t>
  </si>
  <si>
    <t xml:space="preserve">Dominio</t>
  </si>
  <si>
    <t xml:space="preserve">10 a 15 USD al año</t>
  </si>
  <si>
    <t xml:space="preserve">Dirección propia para la API</t>
  </si>
  <si>
    <t xml:space="preserve">EAS Build y EAS Submit (Expo)</t>
  </si>
  <si>
    <t xml:space="preserve">Plan gratuito: hasta 15 builds iOS y 15 Android al mes</t>
  </si>
  <si>
    <t xml:space="preserve">Compilar la app en la nube para Android e iOS, sin necesidad de un Mac, y enviarla a las tiendas</t>
  </si>
  <si>
    <t xml:space="preserve">Apple Developer Program</t>
  </si>
  <si>
    <t xml:space="preserve">99 USD al año</t>
  </si>
  <si>
    <t xml:space="preserve">Cuenta de desarrollador para TestFlight y App Store</t>
  </si>
  <si>
    <t xml:space="preserve">TestFlight</t>
  </si>
  <si>
    <t xml:space="preserve">Incluido en la cuenta de Apple</t>
  </si>
  <si>
    <t xml:space="preserve">Prueba de la app de iOS con iPhones reales antes de publicar</t>
  </si>
  <si>
    <t xml:space="preserve">Mac en la nube (MacinCloud), solo si hace falta</t>
  </si>
  <si>
    <t xml:space="preserve">Desde 1 USD por hora, prepago</t>
  </si>
  <si>
    <t xml:space="preserve">Respaldo si un error de iOS necesita Xcode; no es necesario para compilar</t>
  </si>
  <si>
    <t xml:space="preserve">iPhone de prueba</t>
  </si>
  <si>
    <t xml:space="preserve">Prestado o de testers</t>
  </si>
  <si>
    <t xml:space="preserve">Probar la app de iOS con TestFlight (personal del local y conocidos)</t>
  </si>
  <si>
    <t xml:space="preserve">expo-apple-authentication</t>
  </si>
  <si>
    <t xml:space="preserve">Inicio de sesión con Apple en iOS</t>
  </si>
  <si>
    <t xml:space="preserve">Costo total estimado del proyecto</t>
  </si>
  <si>
    <t xml:space="preserve">Fuentes de los costos: documento de definición del proyecto (Fase 1); Apple Developer Program (developer.apple.com); planes de Expo (expo.dev/pricing); MacinCloud (macincloud.com). Las versiones salen de package.json y requirements.txt.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</si>
</sst>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#,##0;\-#,##0;\-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5C4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5C4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FF2B3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5C400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2B3"/>
      <rgbColor rgb="FF99CCFF"/>
      <rgbColor rgb="FFFF99CC"/>
      <rgbColor rgb="FFCC99FF"/>
      <rgbColor rgb="FFFFCC99"/>
      <rgbColor rgb="FF3366FF"/>
      <rgbColor rgb="FF33CCCC"/>
      <rgbColor rgb="FF99CC00"/>
      <rgbColor rgb="FFF5C4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44ndy/clancys-rewards/issues/50" TargetMode="External"/><Relationship Id="rId2" Type="http://schemas.openxmlformats.org/officeDocument/2006/relationships/hyperlink" Target="https://github.com/44ndy/clancys-rewards/issues/43" TargetMode="External"/><Relationship Id="rId3" Type="http://schemas.openxmlformats.org/officeDocument/2006/relationships/hyperlink" Target="https://github.com/44ndy/clancys-rewards/issues/44" TargetMode="External"/><Relationship Id="rId4" Type="http://schemas.openxmlformats.org/officeDocument/2006/relationships/hyperlink" Target="https://github.com/44ndy/clancys-rewards/issues/57" TargetMode="External"/><Relationship Id="rId5" Type="http://schemas.openxmlformats.org/officeDocument/2006/relationships/hyperlink" Target="https://github.com/44ndy/clancys-rewards/issues/56" TargetMode="External"/><Relationship Id="rId6" Type="http://schemas.openxmlformats.org/officeDocument/2006/relationships/hyperlink" Target="https://github.com/44ndy/clancys-rewards/issues/54" TargetMode="External"/><Relationship Id="rId7" Type="http://schemas.openxmlformats.org/officeDocument/2006/relationships/hyperlink" Target="https://github.com/44ndy/clancys-rewards/issues/66" TargetMode="External"/><Relationship Id="rId8" Type="http://schemas.openxmlformats.org/officeDocument/2006/relationships/hyperlink" Target="https://github.com/44ndy/clancys-rewards/issues/36" TargetMode="External"/><Relationship Id="rId9" Type="http://schemas.openxmlformats.org/officeDocument/2006/relationships/hyperlink" Target="https://github.com/44ndy/clancys-rewards/issues/42" TargetMode="External"/><Relationship Id="rId10" Type="http://schemas.openxmlformats.org/officeDocument/2006/relationships/hyperlink" Target="https://github.com/44ndy/clancys-rewards/issues/45" TargetMode="External"/><Relationship Id="rId11" Type="http://schemas.openxmlformats.org/officeDocument/2006/relationships/hyperlink" Target="https://github.com/44ndy/clancys-rewards/issues/47" TargetMode="External"/><Relationship Id="rId12" Type="http://schemas.openxmlformats.org/officeDocument/2006/relationships/hyperlink" Target="https://github.com/44ndy/clancys-rewards/issues/54" TargetMode="External"/><Relationship Id="rId13" Type="http://schemas.openxmlformats.org/officeDocument/2006/relationships/hyperlink" Target="https://github.com/44ndy/clancys-rewards/issues/51" TargetMode="External"/><Relationship Id="rId14" Type="http://schemas.openxmlformats.org/officeDocument/2006/relationships/hyperlink" Target="https://github.com/44ndy/clancys-rewards/issues/58" TargetMode="External"/><Relationship Id="rId15" Type="http://schemas.openxmlformats.org/officeDocument/2006/relationships/hyperlink" Target="https://github.com/44ndy/clancys-rewards/issues/68" TargetMode="External"/><Relationship Id="rId1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48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35.05" hidden="false" customHeight="false" outlineLevel="0" collapsed="false">
      <c r="A5" s="4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6" t="s">
        <v>21</v>
      </c>
      <c r="H5" s="5" t="s">
        <v>22</v>
      </c>
      <c r="I5" s="5" t="s">
        <v>23</v>
      </c>
      <c r="J5" s="6" t="s">
        <v>24</v>
      </c>
      <c r="K5" s="6" t="s">
        <v>25</v>
      </c>
      <c r="L5" s="6"/>
      <c r="M5" s="5" t="s">
        <v>26</v>
      </c>
    </row>
    <row r="6" customFormat="false" ht="35.05" hidden="false" customHeight="false" outlineLevel="0" collapsed="false">
      <c r="A6" s="4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6" t="s">
        <v>21</v>
      </c>
      <c r="H6" s="5" t="s">
        <v>31</v>
      </c>
      <c r="I6" s="5" t="s">
        <v>23</v>
      </c>
      <c r="J6" s="6" t="s">
        <v>32</v>
      </c>
      <c r="K6" s="6" t="s">
        <v>33</v>
      </c>
      <c r="L6" s="7" t="s">
        <v>34</v>
      </c>
      <c r="M6" s="5" t="s">
        <v>35</v>
      </c>
    </row>
    <row r="7" customFormat="false" ht="23.85" hidden="false" customHeight="false" outlineLevel="0" collapsed="false">
      <c r="A7" s="4" t="s">
        <v>36</v>
      </c>
      <c r="B7" s="5" t="s">
        <v>16</v>
      </c>
      <c r="C7" s="5" t="s">
        <v>37</v>
      </c>
      <c r="D7" s="5" t="s">
        <v>38</v>
      </c>
      <c r="E7" s="5" t="s">
        <v>39</v>
      </c>
      <c r="F7" s="5" t="s">
        <v>20</v>
      </c>
      <c r="G7" s="6" t="s">
        <v>21</v>
      </c>
      <c r="H7" s="5" t="s">
        <v>40</v>
      </c>
      <c r="I7" s="5" t="s">
        <v>23</v>
      </c>
      <c r="J7" s="6" t="s">
        <v>24</v>
      </c>
      <c r="K7" s="6" t="s">
        <v>25</v>
      </c>
      <c r="L7" s="6"/>
      <c r="M7" s="5" t="s">
        <v>41</v>
      </c>
    </row>
    <row r="8" customFormat="false" ht="23.85" hidden="false" customHeight="false" outlineLevel="0" collapsed="false">
      <c r="A8" s="4" t="s">
        <v>42</v>
      </c>
      <c r="B8" s="5" t="s">
        <v>16</v>
      </c>
      <c r="C8" s="5" t="s">
        <v>37</v>
      </c>
      <c r="D8" s="5" t="s">
        <v>43</v>
      </c>
      <c r="E8" s="5" t="s">
        <v>44</v>
      </c>
      <c r="F8" s="5" t="s">
        <v>20</v>
      </c>
      <c r="G8" s="6" t="s">
        <v>21</v>
      </c>
      <c r="H8" s="5" t="s">
        <v>45</v>
      </c>
      <c r="I8" s="5" t="s">
        <v>46</v>
      </c>
      <c r="J8" s="6" t="s">
        <v>24</v>
      </c>
      <c r="K8" s="6" t="s">
        <v>25</v>
      </c>
      <c r="L8" s="6"/>
      <c r="M8" s="5" t="s">
        <v>47</v>
      </c>
    </row>
    <row r="9" customFormat="false" ht="35.05" hidden="false" customHeight="false" outlineLevel="0" collapsed="false">
      <c r="A9" s="4" t="s">
        <v>48</v>
      </c>
      <c r="B9" s="5" t="s">
        <v>16</v>
      </c>
      <c r="C9" s="5" t="s">
        <v>37</v>
      </c>
      <c r="D9" s="5" t="s">
        <v>49</v>
      </c>
      <c r="E9" s="5" t="s">
        <v>50</v>
      </c>
      <c r="F9" s="5" t="s">
        <v>51</v>
      </c>
      <c r="G9" s="6" t="s">
        <v>21</v>
      </c>
      <c r="H9" s="5" t="s">
        <v>52</v>
      </c>
      <c r="I9" s="5" t="s">
        <v>23</v>
      </c>
      <c r="J9" s="6" t="s">
        <v>24</v>
      </c>
      <c r="K9" s="6" t="s">
        <v>25</v>
      </c>
      <c r="L9" s="6"/>
      <c r="M9" s="5" t="s">
        <v>53</v>
      </c>
    </row>
    <row r="10" customFormat="false" ht="35.05" hidden="false" customHeight="false" outlineLevel="0" collapsed="false">
      <c r="A10" s="4" t="s">
        <v>54</v>
      </c>
      <c r="B10" s="5" t="s">
        <v>16</v>
      </c>
      <c r="C10" s="5" t="s">
        <v>37</v>
      </c>
      <c r="D10" s="5" t="s">
        <v>55</v>
      </c>
      <c r="E10" s="5" t="s">
        <v>56</v>
      </c>
      <c r="F10" s="5" t="s">
        <v>57</v>
      </c>
      <c r="G10" s="6" t="s">
        <v>21</v>
      </c>
      <c r="H10" s="5" t="s">
        <v>58</v>
      </c>
      <c r="I10" s="5" t="s">
        <v>59</v>
      </c>
      <c r="J10" s="6" t="s">
        <v>24</v>
      </c>
      <c r="K10" s="6" t="s">
        <v>25</v>
      </c>
      <c r="L10" s="6"/>
      <c r="M10" s="5" t="s">
        <v>60</v>
      </c>
    </row>
    <row r="11" customFormat="false" ht="23.85" hidden="false" customHeight="false" outlineLevel="0" collapsed="false">
      <c r="A11" s="4" t="s">
        <v>61</v>
      </c>
      <c r="B11" s="5" t="s">
        <v>16</v>
      </c>
      <c r="C11" s="5" t="s">
        <v>62</v>
      </c>
      <c r="D11" s="5" t="s">
        <v>63</v>
      </c>
      <c r="E11" s="5" t="s">
        <v>64</v>
      </c>
      <c r="F11" s="5" t="s">
        <v>20</v>
      </c>
      <c r="G11" s="6" t="s">
        <v>65</v>
      </c>
      <c r="H11" s="5" t="s">
        <v>66</v>
      </c>
      <c r="I11" s="5" t="s">
        <v>23</v>
      </c>
      <c r="J11" s="6" t="s">
        <v>24</v>
      </c>
      <c r="K11" s="6" t="s">
        <v>25</v>
      </c>
      <c r="L11" s="6"/>
      <c r="M11" s="5" t="s">
        <v>67</v>
      </c>
    </row>
    <row r="12" customFormat="false" ht="35.05" hidden="false" customHeight="false" outlineLevel="0" collapsed="false">
      <c r="A12" s="4" t="s">
        <v>68</v>
      </c>
      <c r="B12" s="5" t="s">
        <v>16</v>
      </c>
      <c r="C12" s="5" t="s">
        <v>69</v>
      </c>
      <c r="D12" s="5" t="s">
        <v>70</v>
      </c>
      <c r="E12" s="5" t="s">
        <v>71</v>
      </c>
      <c r="F12" s="5" t="s">
        <v>72</v>
      </c>
      <c r="G12" s="6" t="s">
        <v>21</v>
      </c>
      <c r="H12" s="5" t="s">
        <v>73</v>
      </c>
      <c r="I12" s="5" t="s">
        <v>23</v>
      </c>
      <c r="J12" s="6" t="s">
        <v>24</v>
      </c>
      <c r="K12" s="6" t="s">
        <v>25</v>
      </c>
      <c r="L12" s="6"/>
      <c r="M12" s="5" t="s">
        <v>74</v>
      </c>
    </row>
    <row r="13" customFormat="false" ht="35.05" hidden="false" customHeight="false" outlineLevel="0" collapsed="false">
      <c r="A13" s="4" t="s">
        <v>75</v>
      </c>
      <c r="B13" s="5" t="s">
        <v>16</v>
      </c>
      <c r="C13" s="5" t="s">
        <v>69</v>
      </c>
      <c r="D13" s="5" t="s">
        <v>76</v>
      </c>
      <c r="E13" s="5" t="s">
        <v>77</v>
      </c>
      <c r="F13" s="5" t="s">
        <v>72</v>
      </c>
      <c r="G13" s="6" t="s">
        <v>65</v>
      </c>
      <c r="H13" s="5" t="s">
        <v>78</v>
      </c>
      <c r="I13" s="5" t="s">
        <v>79</v>
      </c>
      <c r="J13" s="6" t="s">
        <v>24</v>
      </c>
      <c r="K13" s="6" t="s">
        <v>25</v>
      </c>
      <c r="L13" s="6"/>
      <c r="M13" s="5" t="s">
        <v>80</v>
      </c>
    </row>
    <row r="14" customFormat="false" ht="23.85" hidden="false" customHeight="false" outlineLevel="0" collapsed="false">
      <c r="A14" s="4" t="s">
        <v>81</v>
      </c>
      <c r="B14" s="5" t="s">
        <v>16</v>
      </c>
      <c r="C14" s="5" t="s">
        <v>69</v>
      </c>
      <c r="D14" s="5" t="s">
        <v>82</v>
      </c>
      <c r="E14" s="5" t="s">
        <v>83</v>
      </c>
      <c r="F14" s="5" t="s">
        <v>84</v>
      </c>
      <c r="G14" s="6" t="s">
        <v>65</v>
      </c>
      <c r="H14" s="5" t="s">
        <v>85</v>
      </c>
      <c r="I14" s="5" t="s">
        <v>23</v>
      </c>
      <c r="J14" s="6" t="s">
        <v>24</v>
      </c>
      <c r="K14" s="6" t="s">
        <v>25</v>
      </c>
      <c r="L14" s="6"/>
      <c r="M14" s="5" t="s">
        <v>86</v>
      </c>
    </row>
    <row r="15" customFormat="false" ht="23.85" hidden="false" customHeight="false" outlineLevel="0" collapsed="false">
      <c r="A15" s="4" t="s">
        <v>87</v>
      </c>
      <c r="B15" s="5" t="s">
        <v>16</v>
      </c>
      <c r="C15" s="5" t="s">
        <v>88</v>
      </c>
      <c r="D15" s="5" t="s">
        <v>89</v>
      </c>
      <c r="E15" s="5" t="s">
        <v>90</v>
      </c>
      <c r="F15" s="5" t="s">
        <v>72</v>
      </c>
      <c r="G15" s="6" t="s">
        <v>65</v>
      </c>
      <c r="H15" s="5" t="s">
        <v>91</v>
      </c>
      <c r="I15" s="5" t="s">
        <v>92</v>
      </c>
      <c r="J15" s="6" t="s">
        <v>93</v>
      </c>
      <c r="K15" s="6" t="s">
        <v>94</v>
      </c>
      <c r="L15" s="7" t="s">
        <v>95</v>
      </c>
      <c r="M15" s="5" t="s">
        <v>96</v>
      </c>
    </row>
    <row r="16" customFormat="false" ht="23.85" hidden="false" customHeight="false" outlineLevel="0" collapsed="false">
      <c r="A16" s="4" t="s">
        <v>97</v>
      </c>
      <c r="B16" s="5" t="s">
        <v>16</v>
      </c>
      <c r="C16" s="5" t="s">
        <v>88</v>
      </c>
      <c r="D16" s="5" t="s">
        <v>98</v>
      </c>
      <c r="E16" s="5" t="s">
        <v>99</v>
      </c>
      <c r="F16" s="5" t="s">
        <v>30</v>
      </c>
      <c r="G16" s="6" t="s">
        <v>65</v>
      </c>
      <c r="H16" s="5" t="s">
        <v>100</v>
      </c>
      <c r="I16" s="5" t="s">
        <v>92</v>
      </c>
      <c r="J16" s="6" t="s">
        <v>93</v>
      </c>
      <c r="K16" s="6" t="s">
        <v>94</v>
      </c>
      <c r="L16" s="7" t="s">
        <v>101</v>
      </c>
      <c r="M16" s="5" t="s">
        <v>102</v>
      </c>
    </row>
    <row r="17" customFormat="false" ht="23.85" hidden="false" customHeight="false" outlineLevel="0" collapsed="false">
      <c r="A17" s="4" t="s">
        <v>103</v>
      </c>
      <c r="B17" s="5" t="s">
        <v>16</v>
      </c>
      <c r="C17" s="5" t="s">
        <v>17</v>
      </c>
      <c r="D17" s="5" t="s">
        <v>104</v>
      </c>
      <c r="E17" s="5" t="s">
        <v>105</v>
      </c>
      <c r="F17" s="5" t="s">
        <v>20</v>
      </c>
      <c r="G17" s="6" t="s">
        <v>65</v>
      </c>
      <c r="H17" s="5" t="s">
        <v>106</v>
      </c>
      <c r="I17" s="5" t="s">
        <v>23</v>
      </c>
      <c r="J17" s="6" t="s">
        <v>93</v>
      </c>
      <c r="K17" s="6" t="s">
        <v>107</v>
      </c>
      <c r="L17" s="7" t="s">
        <v>108</v>
      </c>
      <c r="M17" s="5" t="s">
        <v>109</v>
      </c>
    </row>
    <row r="18" customFormat="false" ht="23.85" hidden="false" customHeight="false" outlineLevel="0" collapsed="false">
      <c r="A18" s="4" t="s">
        <v>110</v>
      </c>
      <c r="B18" s="5" t="s">
        <v>16</v>
      </c>
      <c r="C18" s="5" t="s">
        <v>37</v>
      </c>
      <c r="D18" s="5" t="s">
        <v>111</v>
      </c>
      <c r="E18" s="5" t="s">
        <v>112</v>
      </c>
      <c r="F18" s="5" t="s">
        <v>51</v>
      </c>
      <c r="G18" s="6" t="s">
        <v>65</v>
      </c>
      <c r="H18" s="5" t="s">
        <v>113</v>
      </c>
      <c r="I18" s="5" t="s">
        <v>114</v>
      </c>
      <c r="J18" s="6" t="s">
        <v>93</v>
      </c>
      <c r="K18" s="6" t="s">
        <v>107</v>
      </c>
      <c r="L18" s="7" t="s">
        <v>115</v>
      </c>
      <c r="M18" s="5" t="s">
        <v>116</v>
      </c>
    </row>
    <row r="19" customFormat="false" ht="23.85" hidden="false" customHeight="false" outlineLevel="0" collapsed="false">
      <c r="A19" s="4" t="s">
        <v>117</v>
      </c>
      <c r="B19" s="5" t="s">
        <v>16</v>
      </c>
      <c r="C19" s="5" t="s">
        <v>118</v>
      </c>
      <c r="D19" s="5" t="s">
        <v>119</v>
      </c>
      <c r="E19" s="5" t="s">
        <v>120</v>
      </c>
      <c r="F19" s="5" t="s">
        <v>20</v>
      </c>
      <c r="G19" s="6" t="s">
        <v>21</v>
      </c>
      <c r="H19" s="5" t="s">
        <v>121</v>
      </c>
      <c r="I19" s="5" t="s">
        <v>122</v>
      </c>
      <c r="J19" s="6" t="s">
        <v>93</v>
      </c>
      <c r="K19" s="6" t="s">
        <v>107</v>
      </c>
      <c r="L19" s="7" t="s">
        <v>123</v>
      </c>
      <c r="M19" s="5" t="s">
        <v>124</v>
      </c>
    </row>
    <row r="20" customFormat="false" ht="35.05" hidden="false" customHeight="false" outlineLevel="0" collapsed="false">
      <c r="A20" s="4" t="s">
        <v>125</v>
      </c>
      <c r="B20" s="5" t="s">
        <v>16</v>
      </c>
      <c r="C20" s="5" t="s">
        <v>17</v>
      </c>
      <c r="D20" s="5" t="s">
        <v>126</v>
      </c>
      <c r="E20" s="5" t="s">
        <v>127</v>
      </c>
      <c r="F20" s="5" t="s">
        <v>20</v>
      </c>
      <c r="G20" s="6" t="s">
        <v>21</v>
      </c>
      <c r="H20" s="5" t="s">
        <v>128</v>
      </c>
      <c r="I20" s="5" t="s">
        <v>129</v>
      </c>
      <c r="J20" s="6" t="s">
        <v>93</v>
      </c>
      <c r="K20" s="6" t="s">
        <v>33</v>
      </c>
      <c r="L20" s="7" t="s">
        <v>130</v>
      </c>
      <c r="M20" s="5" t="s">
        <v>131</v>
      </c>
    </row>
    <row r="21" customFormat="false" ht="23.85" hidden="false" customHeight="false" outlineLevel="0" collapsed="false">
      <c r="A21" s="4" t="s">
        <v>132</v>
      </c>
      <c r="B21" s="5" t="s">
        <v>133</v>
      </c>
      <c r="C21" s="5" t="s">
        <v>134</v>
      </c>
      <c r="D21" s="5" t="s">
        <v>135</v>
      </c>
      <c r="E21" s="5" t="s">
        <v>136</v>
      </c>
      <c r="F21" s="5" t="s">
        <v>137</v>
      </c>
      <c r="G21" s="6" t="s">
        <v>21</v>
      </c>
      <c r="H21" s="5" t="s">
        <v>138</v>
      </c>
      <c r="I21" s="5" t="s">
        <v>139</v>
      </c>
      <c r="J21" s="6" t="s">
        <v>24</v>
      </c>
      <c r="K21" s="6" t="s">
        <v>25</v>
      </c>
      <c r="L21" s="6"/>
      <c r="M21" s="5" t="s">
        <v>140</v>
      </c>
    </row>
    <row r="22" customFormat="false" ht="23.85" hidden="false" customHeight="false" outlineLevel="0" collapsed="false">
      <c r="A22" s="4" t="s">
        <v>141</v>
      </c>
      <c r="B22" s="5" t="s">
        <v>133</v>
      </c>
      <c r="C22" s="5" t="s">
        <v>134</v>
      </c>
      <c r="D22" s="5" t="s">
        <v>142</v>
      </c>
      <c r="E22" s="5" t="s">
        <v>143</v>
      </c>
      <c r="F22" s="5" t="s">
        <v>137</v>
      </c>
      <c r="G22" s="6" t="s">
        <v>21</v>
      </c>
      <c r="H22" s="5" t="s">
        <v>144</v>
      </c>
      <c r="I22" s="5" t="s">
        <v>139</v>
      </c>
      <c r="J22" s="6" t="s">
        <v>24</v>
      </c>
      <c r="K22" s="6" t="s">
        <v>25</v>
      </c>
      <c r="L22" s="6"/>
      <c r="M22" s="5" t="s">
        <v>145</v>
      </c>
    </row>
    <row r="23" customFormat="false" ht="23.85" hidden="false" customHeight="false" outlineLevel="0" collapsed="false">
      <c r="A23" s="4" t="s">
        <v>146</v>
      </c>
      <c r="B23" s="5" t="s">
        <v>133</v>
      </c>
      <c r="C23" s="5" t="s">
        <v>134</v>
      </c>
      <c r="D23" s="5" t="s">
        <v>147</v>
      </c>
      <c r="E23" s="5" t="s">
        <v>148</v>
      </c>
      <c r="F23" s="5" t="s">
        <v>137</v>
      </c>
      <c r="G23" s="6" t="s">
        <v>21</v>
      </c>
      <c r="H23" s="5" t="s">
        <v>149</v>
      </c>
      <c r="I23" s="5" t="s">
        <v>139</v>
      </c>
      <c r="J23" s="6" t="s">
        <v>24</v>
      </c>
      <c r="K23" s="6" t="s">
        <v>25</v>
      </c>
      <c r="L23" s="6"/>
      <c r="M23" s="5" t="s">
        <v>150</v>
      </c>
    </row>
    <row r="24" customFormat="false" ht="23.85" hidden="false" customHeight="false" outlineLevel="0" collapsed="false">
      <c r="A24" s="4" t="s">
        <v>151</v>
      </c>
      <c r="B24" s="5" t="s">
        <v>133</v>
      </c>
      <c r="C24" s="5" t="s">
        <v>134</v>
      </c>
      <c r="D24" s="5" t="s">
        <v>152</v>
      </c>
      <c r="E24" s="5" t="s">
        <v>153</v>
      </c>
      <c r="F24" s="5" t="s">
        <v>137</v>
      </c>
      <c r="G24" s="6" t="s">
        <v>21</v>
      </c>
      <c r="H24" s="5" t="s">
        <v>154</v>
      </c>
      <c r="I24" s="5" t="s">
        <v>155</v>
      </c>
      <c r="J24" s="6" t="s">
        <v>24</v>
      </c>
      <c r="K24" s="6" t="s">
        <v>156</v>
      </c>
      <c r="L24" s="7" t="s">
        <v>157</v>
      </c>
      <c r="M24" s="5" t="s">
        <v>158</v>
      </c>
    </row>
    <row r="25" customFormat="false" ht="35.05" hidden="false" customHeight="false" outlineLevel="0" collapsed="false">
      <c r="A25" s="4" t="s">
        <v>159</v>
      </c>
      <c r="B25" s="5" t="s">
        <v>133</v>
      </c>
      <c r="C25" s="5" t="s">
        <v>134</v>
      </c>
      <c r="D25" s="5" t="s">
        <v>160</v>
      </c>
      <c r="E25" s="5" t="s">
        <v>161</v>
      </c>
      <c r="F25" s="5" t="s">
        <v>137</v>
      </c>
      <c r="G25" s="6" t="s">
        <v>21</v>
      </c>
      <c r="H25" s="5" t="s">
        <v>162</v>
      </c>
      <c r="I25" s="5" t="s">
        <v>139</v>
      </c>
      <c r="J25" s="6" t="s">
        <v>24</v>
      </c>
      <c r="K25" s="6" t="s">
        <v>94</v>
      </c>
      <c r="L25" s="7" t="s">
        <v>163</v>
      </c>
      <c r="M25" s="5" t="s">
        <v>164</v>
      </c>
    </row>
    <row r="26" customFormat="false" ht="23.85" hidden="false" customHeight="false" outlineLevel="0" collapsed="false">
      <c r="A26" s="4" t="s">
        <v>165</v>
      </c>
      <c r="B26" s="5" t="s">
        <v>133</v>
      </c>
      <c r="C26" s="5" t="s">
        <v>88</v>
      </c>
      <c r="D26" s="5" t="s">
        <v>166</v>
      </c>
      <c r="E26" s="5" t="s">
        <v>167</v>
      </c>
      <c r="F26" s="5" t="s">
        <v>72</v>
      </c>
      <c r="G26" s="6" t="s">
        <v>65</v>
      </c>
      <c r="H26" s="5" t="s">
        <v>168</v>
      </c>
      <c r="I26" s="5" t="s">
        <v>92</v>
      </c>
      <c r="J26" s="6" t="s">
        <v>93</v>
      </c>
      <c r="K26" s="6" t="s">
        <v>94</v>
      </c>
      <c r="L26" s="7" t="s">
        <v>169</v>
      </c>
      <c r="M26" s="5" t="s">
        <v>170</v>
      </c>
    </row>
    <row r="27" customFormat="false" ht="23.85" hidden="false" customHeight="false" outlineLevel="0" collapsed="false">
      <c r="A27" s="4" t="s">
        <v>171</v>
      </c>
      <c r="B27" s="5" t="s">
        <v>133</v>
      </c>
      <c r="C27" s="5" t="s">
        <v>172</v>
      </c>
      <c r="D27" s="5" t="s">
        <v>173</v>
      </c>
      <c r="E27" s="5" t="s">
        <v>174</v>
      </c>
      <c r="F27" s="5" t="s">
        <v>137</v>
      </c>
      <c r="G27" s="6" t="s">
        <v>21</v>
      </c>
      <c r="H27" s="5" t="s">
        <v>175</v>
      </c>
      <c r="I27" s="5" t="s">
        <v>176</v>
      </c>
      <c r="J27" s="6" t="s">
        <v>93</v>
      </c>
      <c r="K27" s="6" t="s">
        <v>33</v>
      </c>
      <c r="L27" s="7" t="s">
        <v>177</v>
      </c>
      <c r="M27" s="5" t="s">
        <v>178</v>
      </c>
    </row>
    <row r="28" customFormat="false" ht="23.85" hidden="false" customHeight="false" outlineLevel="0" collapsed="false">
      <c r="A28" s="4" t="s">
        <v>179</v>
      </c>
      <c r="B28" s="5" t="s">
        <v>133</v>
      </c>
      <c r="C28" s="5" t="s">
        <v>118</v>
      </c>
      <c r="D28" s="5" t="s">
        <v>180</v>
      </c>
      <c r="E28" s="5" t="s">
        <v>181</v>
      </c>
      <c r="F28" s="5" t="s">
        <v>20</v>
      </c>
      <c r="G28" s="6" t="s">
        <v>21</v>
      </c>
      <c r="H28" s="5" t="s">
        <v>182</v>
      </c>
      <c r="I28" s="5" t="s">
        <v>122</v>
      </c>
      <c r="J28" s="6" t="s">
        <v>93</v>
      </c>
      <c r="K28" s="6" t="s">
        <v>107</v>
      </c>
      <c r="L28" s="7" t="s">
        <v>123</v>
      </c>
      <c r="M28" s="5" t="s">
        <v>124</v>
      </c>
    </row>
    <row r="29" customFormat="false" ht="46.25" hidden="false" customHeight="false" outlineLevel="0" collapsed="false">
      <c r="A29" s="4" t="s">
        <v>183</v>
      </c>
      <c r="B29" s="5" t="s">
        <v>133</v>
      </c>
      <c r="C29" s="5" t="s">
        <v>184</v>
      </c>
      <c r="D29" s="5" t="s">
        <v>185</v>
      </c>
      <c r="E29" s="5" t="s">
        <v>186</v>
      </c>
      <c r="F29" s="5" t="s">
        <v>137</v>
      </c>
      <c r="G29" s="6" t="s">
        <v>21</v>
      </c>
      <c r="H29" s="5" t="s">
        <v>187</v>
      </c>
      <c r="I29" s="5" t="s">
        <v>188</v>
      </c>
      <c r="J29" s="6" t="s">
        <v>93</v>
      </c>
      <c r="K29" s="6" t="s">
        <v>189</v>
      </c>
      <c r="L29" s="7" t="s">
        <v>190</v>
      </c>
      <c r="M29" s="5" t="s">
        <v>191</v>
      </c>
    </row>
    <row r="30" customFormat="false" ht="23.85" hidden="false" customHeight="false" outlineLevel="0" collapsed="false">
      <c r="A30" s="4" t="s">
        <v>192</v>
      </c>
      <c r="B30" s="5" t="s">
        <v>133</v>
      </c>
      <c r="C30" s="5" t="s">
        <v>193</v>
      </c>
      <c r="D30" s="5" t="s">
        <v>194</v>
      </c>
      <c r="E30" s="5" t="s">
        <v>195</v>
      </c>
      <c r="F30" s="5" t="s">
        <v>72</v>
      </c>
      <c r="G30" s="6" t="s">
        <v>65</v>
      </c>
      <c r="H30" s="5" t="s">
        <v>196</v>
      </c>
      <c r="I30" s="5" t="s">
        <v>197</v>
      </c>
      <c r="J30" s="6" t="s">
        <v>24</v>
      </c>
      <c r="K30" s="6" t="s">
        <v>25</v>
      </c>
      <c r="L30" s="6"/>
      <c r="M30" s="5" t="s">
        <v>198</v>
      </c>
    </row>
    <row r="31" customFormat="false" ht="23.85" hidden="false" customHeight="false" outlineLevel="0" collapsed="false">
      <c r="A31" s="4" t="s">
        <v>199</v>
      </c>
      <c r="B31" s="5" t="s">
        <v>133</v>
      </c>
      <c r="C31" s="5" t="s">
        <v>200</v>
      </c>
      <c r="D31" s="5" t="s">
        <v>201</v>
      </c>
      <c r="E31" s="5" t="s">
        <v>202</v>
      </c>
      <c r="F31" s="5" t="s">
        <v>137</v>
      </c>
      <c r="G31" s="6" t="s">
        <v>21</v>
      </c>
      <c r="H31" s="5" t="s">
        <v>203</v>
      </c>
      <c r="I31" s="5" t="s">
        <v>204</v>
      </c>
      <c r="J31" s="6" t="s">
        <v>32</v>
      </c>
      <c r="K31" s="6" t="s">
        <v>107</v>
      </c>
      <c r="L31" s="7" t="s">
        <v>205</v>
      </c>
      <c r="M31" s="5" t="s">
        <v>206</v>
      </c>
    </row>
    <row r="32" customFormat="false" ht="35.05" hidden="false" customHeight="false" outlineLevel="0" collapsed="false">
      <c r="A32" s="4" t="s">
        <v>207</v>
      </c>
      <c r="B32" s="5" t="s">
        <v>133</v>
      </c>
      <c r="C32" s="5" t="s">
        <v>184</v>
      </c>
      <c r="D32" s="5" t="s">
        <v>208</v>
      </c>
      <c r="E32" s="5" t="s">
        <v>209</v>
      </c>
      <c r="F32" s="5" t="s">
        <v>137</v>
      </c>
      <c r="G32" s="6" t="s">
        <v>21</v>
      </c>
      <c r="H32" s="5" t="s">
        <v>210</v>
      </c>
      <c r="I32" s="5" t="s">
        <v>211</v>
      </c>
      <c r="J32" s="6" t="s">
        <v>93</v>
      </c>
      <c r="K32" s="6" t="s">
        <v>107</v>
      </c>
      <c r="L32" s="7" t="s">
        <v>212</v>
      </c>
      <c r="M32" s="5" t="s">
        <v>213</v>
      </c>
    </row>
    <row r="34" customFormat="false" ht="15" hidden="false" customHeight="false" outlineLevel="0" collapsed="false">
      <c r="A34" s="8" t="s">
        <v>214</v>
      </c>
    </row>
    <row r="35" customFormat="false" ht="15" hidden="false" customHeight="false" outlineLevel="0" collapsed="false">
      <c r="A35" s="8" t="s">
        <v>215</v>
      </c>
    </row>
  </sheetData>
  <autoFilter ref="A4:M32"/>
  <mergeCells count="2">
    <mergeCell ref="A1:M1"/>
    <mergeCell ref="A2:M2"/>
  </mergeCells>
  <conditionalFormatting sqref="J5:J32">
    <cfRule type="expression" priority="2" aboveAverage="0" equalAverage="0" bottom="0" percent="0" rank="0" text="" dxfId="7">
      <formula>$J5="Implementado"</formula>
    </cfRule>
    <cfRule type="expression" priority="3" aboveAverage="0" equalAverage="0" bottom="0" percent="0" rank="0" text="" dxfId="8">
      <formula>$J5="Parcial"</formula>
    </cfRule>
    <cfRule type="expression" priority="4" aboveAverage="0" equalAverage="0" bottom="0" percent="0" rank="0" text="" dxfId="9">
      <formula>$J5="Pendiente"</formula>
    </cfRule>
  </conditionalFormatting>
  <dataValidations count="2">
    <dataValidation allowBlank="false" errorStyle="stop" operator="between" showDropDown="false" showErrorMessage="false" showInputMessage="false" sqref="J5:J32" type="list">
      <formula1>"Implementado,Parcial,Pendiente"</formula1>
      <formula2>0</formula2>
    </dataValidation>
    <dataValidation allowBlank="false" errorStyle="stop" operator="between" showDropDown="false" showErrorMessage="false" showInputMessage="false" sqref="G5:G32" type="list">
      <formula1>"Alta,Media,Baja"</formula1>
      <formula2>0</formula2>
    </dataValidation>
  </dataValidations>
  <hyperlinks>
    <hyperlink ref="L6" r:id="rId1" display="#50"/>
    <hyperlink ref="L15" r:id="rId2" display="#43"/>
    <hyperlink ref="L16" r:id="rId3" display="#44"/>
    <hyperlink ref="L17" r:id="rId4" display="#57"/>
    <hyperlink ref="L18" r:id="rId5" display="#56"/>
    <hyperlink ref="L19" r:id="rId6" display="#54"/>
    <hyperlink ref="L20" r:id="rId7" display="#66"/>
    <hyperlink ref="L24" r:id="rId8" display="#36"/>
    <hyperlink ref="L25" r:id="rId9" display="#42"/>
    <hyperlink ref="L26" r:id="rId10" display="#45"/>
    <hyperlink ref="L27" r:id="rId11" display="#47"/>
    <hyperlink ref="L28" r:id="rId12" display="#54"/>
    <hyperlink ref="L29" r:id="rId13" display="#51"/>
    <hyperlink ref="L31" r:id="rId14" display="#58"/>
    <hyperlink ref="L32" r:id="rId15" display="#6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216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217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3</v>
      </c>
      <c r="B4" s="3" t="s">
        <v>218</v>
      </c>
      <c r="C4" s="3" t="s">
        <v>24</v>
      </c>
      <c r="D4" s="3" t="s">
        <v>32</v>
      </c>
      <c r="E4" s="3" t="s">
        <v>93</v>
      </c>
      <c r="F4" s="3" t="s">
        <v>219</v>
      </c>
    </row>
    <row r="5" customFormat="false" ht="15" hidden="false" customHeight="false" outlineLevel="0" collapsed="false">
      <c r="A5" s="9" t="s">
        <v>16</v>
      </c>
      <c r="B5" s="10" t="n">
        <f aca="false">COUNTIF(Requisitos!$B$5:$B$32,A5)</f>
        <v>16</v>
      </c>
      <c r="C5" s="10" t="n">
        <f aca="false">COUNTIFS(Requisitos!$B$5:$B$32,A5,Requisitos!$J$5:$J$32,"Implementado")</f>
        <v>9</v>
      </c>
      <c r="D5" s="10" t="n">
        <f aca="false">COUNTIFS(Requisitos!$B$5:$B$32,A5,Requisitos!$J$5:$J$32,"Parcial")</f>
        <v>1</v>
      </c>
      <c r="E5" s="10" t="n">
        <f aca="false">COUNTIFS(Requisitos!$B$5:$B$32,A5,Requisitos!$J$5:$J$32,"Pendiente")</f>
        <v>6</v>
      </c>
      <c r="F5" s="11" t="n">
        <f aca="false">IF(B5=0,0,C5/B5)</f>
        <v>0.5625</v>
      </c>
    </row>
    <row r="6" customFormat="false" ht="15" hidden="false" customHeight="false" outlineLevel="0" collapsed="false">
      <c r="A6" s="9" t="s">
        <v>133</v>
      </c>
      <c r="B6" s="10" t="n">
        <f aca="false">COUNTIF(Requisitos!$B$5:$B$32,A6)</f>
        <v>12</v>
      </c>
      <c r="C6" s="10" t="n">
        <f aca="false">COUNTIFS(Requisitos!$B$5:$B$32,A6,Requisitos!$J$5:$J$32,"Implementado")</f>
        <v>6</v>
      </c>
      <c r="D6" s="10" t="n">
        <f aca="false">COUNTIFS(Requisitos!$B$5:$B$32,A6,Requisitos!$J$5:$J$32,"Parcial")</f>
        <v>1</v>
      </c>
      <c r="E6" s="10" t="n">
        <f aca="false">COUNTIFS(Requisitos!$B$5:$B$32,A6,Requisitos!$J$5:$J$32,"Pendiente")</f>
        <v>5</v>
      </c>
      <c r="F6" s="11" t="n">
        <f aca="false">IF(B6=0,0,C6/B6)</f>
        <v>0.5</v>
      </c>
    </row>
    <row r="7" customFormat="false" ht="15" hidden="false" customHeight="false" outlineLevel="0" collapsed="false">
      <c r="A7" s="12" t="s">
        <v>218</v>
      </c>
      <c r="B7" s="13" t="n">
        <f aca="false">SUM(B5:B6)</f>
        <v>28</v>
      </c>
      <c r="C7" s="13" t="n">
        <f aca="false">SUM(C5:C6)</f>
        <v>15</v>
      </c>
      <c r="D7" s="13" t="n">
        <f aca="false">SUM(D5:D6)</f>
        <v>2</v>
      </c>
      <c r="E7" s="13" t="n">
        <f aca="false">SUM(E5:E6)</f>
        <v>11</v>
      </c>
      <c r="F7" s="14" t="n">
        <f aca="false">IF(B7=0,0,C7/B7)</f>
        <v>0.535714285714286</v>
      </c>
    </row>
    <row r="9" customFormat="false" ht="30" hidden="false" customHeight="true" outlineLevel="0" collapsed="false">
      <c r="A9" s="3" t="s">
        <v>12</v>
      </c>
      <c r="B9" s="3" t="s">
        <v>220</v>
      </c>
    </row>
    <row r="10" customFormat="false" ht="15" hidden="false" customHeight="false" outlineLevel="0" collapsed="false">
      <c r="A10" s="15" t="s">
        <v>25</v>
      </c>
      <c r="B10" s="10" t="n">
        <f aca="false">COUNTIF(Requisitos!$K$5:$K$32,"Prototipo*")</f>
        <v>13</v>
      </c>
    </row>
    <row r="11" customFormat="false" ht="15" hidden="false" customHeight="false" outlineLevel="0" collapsed="false">
      <c r="A11" s="15" t="s">
        <v>156</v>
      </c>
      <c r="B11" s="10" t="n">
        <f aca="false">COUNTIF(Requisitos!$K$5:$K$32,"Sprint 0*")</f>
        <v>1</v>
      </c>
    </row>
    <row r="12" customFormat="false" ht="15" hidden="false" customHeight="false" outlineLevel="0" collapsed="false">
      <c r="A12" s="15" t="s">
        <v>94</v>
      </c>
      <c r="B12" s="10" t="n">
        <f aca="false">COUNTIF(Requisitos!$K$5:$K$32,"Sprint 1*")</f>
        <v>4</v>
      </c>
    </row>
    <row r="13" customFormat="false" ht="15" hidden="false" customHeight="false" outlineLevel="0" collapsed="false">
      <c r="A13" s="15" t="s">
        <v>33</v>
      </c>
      <c r="B13" s="10" t="n">
        <f aca="false">COUNTIF(Requisitos!$K$5:$K$32,"Sprint 2*")</f>
        <v>4</v>
      </c>
    </row>
    <row r="14" customFormat="false" ht="15" hidden="false" customHeight="false" outlineLevel="0" collapsed="false">
      <c r="A14" s="15" t="s">
        <v>107</v>
      </c>
      <c r="B14" s="10" t="n">
        <f aca="false">COUNTIF(Requisitos!$K$5:$K$32,"Sprint 3*")</f>
        <v>6</v>
      </c>
    </row>
    <row r="16" customFormat="false" ht="15" hidden="false" customHeight="false" outlineLevel="0" collapsed="false">
      <c r="A16" s="8" t="s">
        <v>221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6" min="5" style="0" width="14"/>
  </cols>
  <sheetData>
    <row r="1" customFormat="false" ht="27.75" hidden="false" customHeight="true" outlineLevel="0" collapsed="false">
      <c r="A1" s="1" t="s">
        <v>222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223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224</v>
      </c>
      <c r="B4" s="3" t="s">
        <v>225</v>
      </c>
      <c r="C4" s="3" t="s">
        <v>226</v>
      </c>
      <c r="D4" s="3" t="s">
        <v>227</v>
      </c>
      <c r="E4" s="3" t="s">
        <v>228</v>
      </c>
      <c r="F4" s="3" t="s">
        <v>229</v>
      </c>
    </row>
    <row r="5" customFormat="false" ht="15" hidden="false" customHeight="false" outlineLevel="0" collapsed="false">
      <c r="A5" s="5" t="s">
        <v>230</v>
      </c>
      <c r="B5" s="16" t="s">
        <v>231</v>
      </c>
      <c r="C5" s="5" t="s">
        <v>232</v>
      </c>
      <c r="D5" s="5" t="s">
        <v>233</v>
      </c>
      <c r="E5" s="17" t="n">
        <v>0</v>
      </c>
      <c r="F5" s="17" t="n">
        <v>0</v>
      </c>
    </row>
    <row r="6" customFormat="false" ht="15" hidden="false" customHeight="false" outlineLevel="0" collapsed="false">
      <c r="A6" s="5" t="s">
        <v>230</v>
      </c>
      <c r="B6" s="16" t="s">
        <v>234</v>
      </c>
      <c r="C6" s="5" t="s">
        <v>232</v>
      </c>
      <c r="D6" s="5" t="s">
        <v>235</v>
      </c>
      <c r="E6" s="17" t="n">
        <v>0</v>
      </c>
      <c r="F6" s="17" t="n">
        <v>0</v>
      </c>
    </row>
    <row r="7" customFormat="false" ht="15" hidden="false" customHeight="false" outlineLevel="0" collapsed="false">
      <c r="A7" s="5" t="s">
        <v>236</v>
      </c>
      <c r="B7" s="16" t="s">
        <v>237</v>
      </c>
      <c r="C7" s="5" t="s">
        <v>238</v>
      </c>
      <c r="D7" s="5" t="s">
        <v>239</v>
      </c>
      <c r="E7" s="17" t="n">
        <v>0</v>
      </c>
      <c r="F7" s="17" t="n">
        <v>0</v>
      </c>
    </row>
    <row r="8" customFormat="false" ht="23.85" hidden="false" customHeight="false" outlineLevel="0" collapsed="false">
      <c r="A8" s="5" t="s">
        <v>236</v>
      </c>
      <c r="B8" s="16" t="s">
        <v>240</v>
      </c>
      <c r="C8" s="5" t="s">
        <v>241</v>
      </c>
      <c r="D8" s="5" t="s">
        <v>242</v>
      </c>
      <c r="E8" s="17" t="n">
        <v>0</v>
      </c>
      <c r="F8" s="17" t="n">
        <v>0</v>
      </c>
    </row>
    <row r="9" customFormat="false" ht="15" hidden="false" customHeight="false" outlineLevel="0" collapsed="false">
      <c r="A9" s="5" t="s">
        <v>236</v>
      </c>
      <c r="B9" s="16" t="s">
        <v>243</v>
      </c>
      <c r="C9" s="5" t="s">
        <v>244</v>
      </c>
      <c r="D9" s="5" t="s">
        <v>245</v>
      </c>
      <c r="E9" s="17" t="n">
        <v>0</v>
      </c>
      <c r="F9" s="17" t="n">
        <v>0</v>
      </c>
    </row>
    <row r="10" customFormat="false" ht="15" hidden="false" customHeight="false" outlineLevel="0" collapsed="false">
      <c r="A10" s="5" t="s">
        <v>246</v>
      </c>
      <c r="B10" s="16" t="s">
        <v>247</v>
      </c>
      <c r="C10" s="5" t="s">
        <v>248</v>
      </c>
      <c r="D10" s="5" t="s">
        <v>249</v>
      </c>
      <c r="E10" s="17" t="n">
        <v>0</v>
      </c>
      <c r="F10" s="17" t="n">
        <v>0</v>
      </c>
    </row>
    <row r="11" customFormat="false" ht="15" hidden="false" customHeight="false" outlineLevel="0" collapsed="false">
      <c r="A11" s="5" t="s">
        <v>246</v>
      </c>
      <c r="B11" s="16" t="s">
        <v>250</v>
      </c>
      <c r="C11" s="5" t="s">
        <v>251</v>
      </c>
      <c r="D11" s="5" t="s">
        <v>252</v>
      </c>
      <c r="E11" s="17" t="n">
        <v>0</v>
      </c>
      <c r="F11" s="17" t="n">
        <v>0</v>
      </c>
    </row>
    <row r="12" customFormat="false" ht="15" hidden="false" customHeight="false" outlineLevel="0" collapsed="false">
      <c r="A12" s="5" t="s">
        <v>246</v>
      </c>
      <c r="B12" s="16" t="s">
        <v>253</v>
      </c>
      <c r="C12" s="5" t="s">
        <v>254</v>
      </c>
      <c r="D12" s="5" t="s">
        <v>255</v>
      </c>
      <c r="E12" s="17" t="n">
        <v>0</v>
      </c>
      <c r="F12" s="17" t="n">
        <v>0</v>
      </c>
    </row>
    <row r="13" customFormat="false" ht="15" hidden="false" customHeight="false" outlineLevel="0" collapsed="false">
      <c r="A13" s="5" t="s">
        <v>246</v>
      </c>
      <c r="B13" s="16" t="s">
        <v>256</v>
      </c>
      <c r="C13" s="5" t="s">
        <v>257</v>
      </c>
      <c r="D13" s="5" t="s">
        <v>258</v>
      </c>
      <c r="E13" s="17" t="n">
        <v>0</v>
      </c>
      <c r="F13" s="17" t="n">
        <v>0</v>
      </c>
    </row>
    <row r="14" customFormat="false" ht="15" hidden="false" customHeight="false" outlineLevel="0" collapsed="false">
      <c r="A14" s="5" t="s">
        <v>246</v>
      </c>
      <c r="B14" s="16" t="s">
        <v>259</v>
      </c>
      <c r="C14" s="5" t="s">
        <v>260</v>
      </c>
      <c r="D14" s="5" t="s">
        <v>261</v>
      </c>
      <c r="E14" s="17" t="n">
        <v>0</v>
      </c>
      <c r="F14" s="17" t="n">
        <v>0</v>
      </c>
    </row>
    <row r="15" customFormat="false" ht="15" hidden="false" customHeight="false" outlineLevel="0" collapsed="false">
      <c r="A15" s="5" t="s">
        <v>246</v>
      </c>
      <c r="B15" s="16" t="s">
        <v>262</v>
      </c>
      <c r="C15" s="5" t="s">
        <v>263</v>
      </c>
      <c r="D15" s="5" t="s">
        <v>264</v>
      </c>
      <c r="E15" s="17" t="n">
        <v>0</v>
      </c>
      <c r="F15" s="17" t="n">
        <v>0</v>
      </c>
    </row>
    <row r="16" customFormat="false" ht="15" hidden="false" customHeight="false" outlineLevel="0" collapsed="false">
      <c r="A16" s="5" t="s">
        <v>246</v>
      </c>
      <c r="B16" s="16" t="s">
        <v>265</v>
      </c>
      <c r="C16" s="5" t="s">
        <v>266</v>
      </c>
      <c r="D16" s="5" t="s">
        <v>267</v>
      </c>
      <c r="E16" s="17" t="n">
        <v>0</v>
      </c>
      <c r="F16" s="17" t="n">
        <v>0</v>
      </c>
    </row>
    <row r="17" customFormat="false" ht="15" hidden="false" customHeight="false" outlineLevel="0" collapsed="false">
      <c r="A17" s="5" t="s">
        <v>268</v>
      </c>
      <c r="B17" s="16" t="s">
        <v>269</v>
      </c>
      <c r="C17" s="5" t="s">
        <v>270</v>
      </c>
      <c r="D17" s="5" t="s">
        <v>271</v>
      </c>
      <c r="E17" s="17" t="n">
        <v>0</v>
      </c>
      <c r="F17" s="17" t="n">
        <v>0</v>
      </c>
    </row>
    <row r="18" customFormat="false" ht="15" hidden="false" customHeight="false" outlineLevel="0" collapsed="false">
      <c r="A18" s="5" t="s">
        <v>268</v>
      </c>
      <c r="B18" s="16" t="s">
        <v>272</v>
      </c>
      <c r="C18" s="5" t="s">
        <v>273</v>
      </c>
      <c r="D18" s="5" t="s">
        <v>274</v>
      </c>
      <c r="E18" s="17" t="n">
        <v>0</v>
      </c>
      <c r="F18" s="17" t="n">
        <v>0</v>
      </c>
    </row>
    <row r="19" customFormat="false" ht="15" hidden="false" customHeight="false" outlineLevel="0" collapsed="false">
      <c r="A19" s="5" t="s">
        <v>268</v>
      </c>
      <c r="B19" s="16" t="s">
        <v>275</v>
      </c>
      <c r="C19" s="5" t="s">
        <v>276</v>
      </c>
      <c r="D19" s="5" t="s">
        <v>277</v>
      </c>
      <c r="E19" s="17" t="n">
        <v>0</v>
      </c>
      <c r="F19" s="17" t="n">
        <v>0</v>
      </c>
    </row>
    <row r="20" customFormat="false" ht="15" hidden="false" customHeight="false" outlineLevel="0" collapsed="false">
      <c r="A20" s="5" t="s">
        <v>268</v>
      </c>
      <c r="B20" s="16" t="s">
        <v>278</v>
      </c>
      <c r="C20" s="5" t="s">
        <v>279</v>
      </c>
      <c r="D20" s="5" t="s">
        <v>280</v>
      </c>
      <c r="E20" s="17" t="n">
        <v>0</v>
      </c>
      <c r="F20" s="17" t="n">
        <v>0</v>
      </c>
    </row>
    <row r="21" customFormat="false" ht="15" hidden="false" customHeight="false" outlineLevel="0" collapsed="false">
      <c r="A21" s="5" t="s">
        <v>268</v>
      </c>
      <c r="B21" s="16" t="s">
        <v>281</v>
      </c>
      <c r="C21" s="5" t="s">
        <v>282</v>
      </c>
      <c r="D21" s="5" t="s">
        <v>283</v>
      </c>
      <c r="E21" s="17" t="n">
        <v>0</v>
      </c>
      <c r="F21" s="17" t="n">
        <v>0</v>
      </c>
    </row>
    <row r="22" customFormat="false" ht="15" hidden="false" customHeight="false" outlineLevel="0" collapsed="false">
      <c r="A22" s="5" t="s">
        <v>284</v>
      </c>
      <c r="B22" s="16" t="s">
        <v>285</v>
      </c>
      <c r="C22" s="5" t="s">
        <v>286</v>
      </c>
      <c r="D22" s="5" t="s">
        <v>287</v>
      </c>
      <c r="E22" s="17" t="n">
        <v>0</v>
      </c>
      <c r="F22" s="17" t="n">
        <v>0</v>
      </c>
    </row>
    <row r="23" customFormat="false" ht="15" hidden="false" customHeight="false" outlineLevel="0" collapsed="false">
      <c r="A23" s="5" t="s">
        <v>288</v>
      </c>
      <c r="B23" s="16" t="s">
        <v>289</v>
      </c>
      <c r="C23" s="5" t="s">
        <v>290</v>
      </c>
      <c r="D23" s="5" t="s">
        <v>291</v>
      </c>
      <c r="E23" s="17" t="n">
        <v>0</v>
      </c>
      <c r="F23" s="17" t="n">
        <v>0</v>
      </c>
    </row>
    <row r="24" customFormat="false" ht="15" hidden="false" customHeight="false" outlineLevel="0" collapsed="false">
      <c r="A24" s="5" t="s">
        <v>288</v>
      </c>
      <c r="B24" s="16" t="s">
        <v>292</v>
      </c>
      <c r="C24" s="5" t="s">
        <v>293</v>
      </c>
      <c r="D24" s="5" t="s">
        <v>294</v>
      </c>
      <c r="E24" s="17" t="n">
        <v>25</v>
      </c>
      <c r="F24" s="17" t="n">
        <v>25</v>
      </c>
    </row>
    <row r="25" customFormat="false" ht="23.85" hidden="false" customHeight="false" outlineLevel="0" collapsed="false">
      <c r="A25" s="5" t="s">
        <v>288</v>
      </c>
      <c r="B25" s="16" t="s">
        <v>295</v>
      </c>
      <c r="C25" s="5" t="s">
        <v>296</v>
      </c>
      <c r="D25" s="5" t="s">
        <v>297</v>
      </c>
      <c r="E25" s="17" t="n">
        <v>0</v>
      </c>
      <c r="F25" s="17" t="n">
        <v>14</v>
      </c>
    </row>
    <row r="26" customFormat="false" ht="15" hidden="false" customHeight="false" outlineLevel="0" collapsed="false">
      <c r="A26" s="5" t="s">
        <v>288</v>
      </c>
      <c r="B26" s="16" t="s">
        <v>298</v>
      </c>
      <c r="C26" s="5" t="s">
        <v>290</v>
      </c>
      <c r="D26" s="5" t="s">
        <v>299</v>
      </c>
      <c r="E26" s="17" t="n">
        <v>0</v>
      </c>
      <c r="F26" s="17" t="n">
        <v>0</v>
      </c>
    </row>
    <row r="27" customFormat="false" ht="15" hidden="false" customHeight="false" outlineLevel="0" collapsed="false">
      <c r="A27" s="5" t="s">
        <v>288</v>
      </c>
      <c r="B27" s="16" t="s">
        <v>300</v>
      </c>
      <c r="C27" s="5" t="s">
        <v>301</v>
      </c>
      <c r="D27" s="5" t="s">
        <v>302</v>
      </c>
      <c r="E27" s="17" t="n">
        <v>10</v>
      </c>
      <c r="F27" s="17" t="n">
        <v>15</v>
      </c>
    </row>
    <row r="28" customFormat="false" ht="35.05" hidden="false" customHeight="false" outlineLevel="0" collapsed="false">
      <c r="A28" s="5" t="s">
        <v>288</v>
      </c>
      <c r="B28" s="16" t="s">
        <v>303</v>
      </c>
      <c r="C28" s="5" t="s">
        <v>304</v>
      </c>
      <c r="D28" s="5" t="s">
        <v>305</v>
      </c>
      <c r="E28" s="17" t="n">
        <v>0</v>
      </c>
      <c r="F28" s="17" t="n">
        <v>0</v>
      </c>
    </row>
    <row r="29" customFormat="false" ht="15" hidden="false" customHeight="false" outlineLevel="0" collapsed="false">
      <c r="A29" s="5" t="s">
        <v>288</v>
      </c>
      <c r="B29" s="16" t="s">
        <v>306</v>
      </c>
      <c r="C29" s="5" t="s">
        <v>307</v>
      </c>
      <c r="D29" s="5" t="s">
        <v>308</v>
      </c>
      <c r="E29" s="17" t="n">
        <v>99</v>
      </c>
      <c r="F29" s="17" t="n">
        <v>99</v>
      </c>
    </row>
    <row r="30" customFormat="false" ht="23.85" hidden="false" customHeight="false" outlineLevel="0" collapsed="false">
      <c r="A30" s="5" t="s">
        <v>288</v>
      </c>
      <c r="B30" s="16" t="s">
        <v>309</v>
      </c>
      <c r="C30" s="5" t="s">
        <v>310</v>
      </c>
      <c r="D30" s="5" t="s">
        <v>311</v>
      </c>
      <c r="E30" s="17" t="n">
        <v>0</v>
      </c>
      <c r="F30" s="17" t="n">
        <v>0</v>
      </c>
    </row>
    <row r="31" customFormat="false" ht="23.85" hidden="false" customHeight="false" outlineLevel="0" collapsed="false">
      <c r="A31" s="5" t="s">
        <v>288</v>
      </c>
      <c r="B31" s="16" t="s">
        <v>312</v>
      </c>
      <c r="C31" s="5" t="s">
        <v>313</v>
      </c>
      <c r="D31" s="5" t="s">
        <v>314</v>
      </c>
      <c r="E31" s="17" t="n">
        <v>0</v>
      </c>
      <c r="F31" s="17" t="n">
        <v>30</v>
      </c>
    </row>
    <row r="32" customFormat="false" ht="23.85" hidden="false" customHeight="false" outlineLevel="0" collapsed="false">
      <c r="A32" s="5" t="s">
        <v>230</v>
      </c>
      <c r="B32" s="16" t="s">
        <v>315</v>
      </c>
      <c r="C32" s="5" t="s">
        <v>316</v>
      </c>
      <c r="D32" s="5" t="s">
        <v>317</v>
      </c>
      <c r="E32" s="17" t="n">
        <v>0</v>
      </c>
      <c r="F32" s="17" t="n">
        <v>0</v>
      </c>
    </row>
    <row r="33" customFormat="false" ht="15" hidden="false" customHeight="false" outlineLevel="0" collapsed="false">
      <c r="A33" s="5" t="s">
        <v>246</v>
      </c>
      <c r="B33" s="16" t="s">
        <v>318</v>
      </c>
      <c r="C33" s="5" t="s">
        <v>244</v>
      </c>
      <c r="D33" s="5" t="s">
        <v>319</v>
      </c>
      <c r="E33" s="17" t="n">
        <v>0</v>
      </c>
      <c r="F33" s="17" t="n">
        <v>0</v>
      </c>
    </row>
    <row r="34" customFormat="false" ht="15" hidden="false" customHeight="false" outlineLevel="0" collapsed="false">
      <c r="A34" s="18"/>
      <c r="B34" s="18"/>
      <c r="C34" s="18"/>
      <c r="D34" s="19" t="s">
        <v>320</v>
      </c>
      <c r="E34" s="20" t="n">
        <f aca="false">SUM(E5:E33)</f>
        <v>134</v>
      </c>
      <c r="F34" s="20" t="n">
        <f aca="false">SUM(F5:F33)</f>
        <v>183</v>
      </c>
    </row>
    <row r="36" customFormat="false" ht="15" hidden="false" customHeight="false" outlineLevel="0" collapsed="false">
      <c r="A36" s="8" t="s">
        <v>321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2026-10-29T20:00:27Z</dcterms:created>
  <dc:creator>Andy Aravena Auquilen</dc:creator>
  <dc:description/>
  <dc:language>en-US</dc:language>
  <cp:lastModifiedBy>Andy Aravena Auquilen</cp:lastModifiedBy>
  <dcterms:modified xsi:type="dcterms:W3CDTF">2026-10-29T20:00:27Z</dcterms:modified>
  <cp:revision>0</cp:revision>
  <dc:subject/>
  <dc:title>Matriz de requisitos – Clancy's Rewards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